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Backlog" sheetId="2" r:id="rId5"/>
    <sheet state="visible" name="Sprint 1" sheetId="3" r:id="rId6"/>
    <sheet state="visible" name="Sprint 2" sheetId="4" r:id="rId7"/>
    <sheet state="visible" name="Ceremonias y videos" sheetId="5" r:id="rId8"/>
    <sheet state="visible" name="DoD y riesgos" sheetId="6" r:id="rId9"/>
    <sheet state="visible" name="Listas" sheetId="7" r:id="rId10"/>
  </sheets>
  <definedNames/>
  <calcPr/>
  <extLst>
    <ext uri="GoogleSheetsCustomDataVersion2">
      <go:sheetsCustomData xmlns:go="http://customooxmlschemas.google.com/" r:id="rId11" roundtripDataChecksum="gULGK37V93bOKSKlXNgu0vpTrJGI7wwTRbBOHrZAA4I="/>
    </ext>
  </extLst>
</workbook>
</file>

<file path=xl/sharedStrings.xml><?xml version="1.0" encoding="utf-8"?>
<sst xmlns="http://schemas.openxmlformats.org/spreadsheetml/2006/main" count="510" uniqueCount="264">
  <si>
    <t>Plan operativo Scrum — EduAI Risk Docente</t>
  </si>
  <si>
    <t>Alcance de 1 mes: 2 sprints ejecutables para modelo predictivo, dashboard y chatbot básico</t>
  </si>
  <si>
    <t>Campo</t>
  </si>
  <si>
    <t>Detalle editable</t>
  </si>
  <si>
    <t>Indicador</t>
  </si>
  <si>
    <t>Fórmula / Meta</t>
  </si>
  <si>
    <t>Resultado</t>
  </si>
  <si>
    <t>Semáforo</t>
  </si>
  <si>
    <t>Sprint</t>
  </si>
  <si>
    <t>Tareas</t>
  </si>
  <si>
    <t>Producto</t>
  </si>
  <si>
    <t>EduAI Risk Docente</t>
  </si>
  <si>
    <t>Avance total de tareas</t>
  </si>
  <si>
    <t>Hecho / total</t>
  </si>
  <si>
    <t>Sprint 1</t>
  </si>
  <si>
    <t>Objetivo</t>
  </si>
  <si>
    <t>Predecir riesgo de reprobación con datos estudiantiles públicos y entregar al profesor un tablero simple para priorizar apoyo.</t>
  </si>
  <si>
    <t>Tareas Sprint 1</t>
  </si>
  <si>
    <t>Total registradas</t>
  </si>
  <si>
    <t>Sprint 2</t>
  </si>
  <si>
    <t>Fecha inicio</t>
  </si>
  <si>
    <t>Tareas Sprint 2</t>
  </si>
  <si>
    <t>Ceremonias</t>
  </si>
  <si>
    <t>Duración</t>
  </si>
  <si>
    <t>1 mes / 2 sprints de 2 semanas</t>
  </si>
  <si>
    <t>Ceremonias documentadas</t>
  </si>
  <si>
    <t>Videos con enlace / total</t>
  </si>
  <si>
    <t>Dataset sugerido</t>
  </si>
  <si>
    <t>UCI Student Performance</t>
  </si>
  <si>
    <t>Riesgos abiertos</t>
  </si>
  <si>
    <t>Pendiente o en curso</t>
  </si>
  <si>
    <t>Fuente</t>
  </si>
  <si>
    <t>https://archive.ics.uci.edu/dataset/320/student%2Bperformance</t>
  </si>
  <si>
    <t>MVP listo para demo</t>
  </si>
  <si>
    <t>Dashboard + modelo + chatbot básico</t>
  </si>
  <si>
    <t>Validar en Sprint Review 2</t>
  </si>
  <si>
    <t>Repositorio / Drive</t>
  </si>
  <si>
    <t>Pegar aquí enlace del Drive o GitHub del equipo</t>
  </si>
  <si>
    <t>Roadmap operativo de 1 mes</t>
  </si>
  <si>
    <t>Semana 1</t>
  </si>
  <si>
    <t>Semana 2</t>
  </si>
  <si>
    <t>Semana 3</t>
  </si>
  <si>
    <t>Semana 4</t>
  </si>
  <si>
    <t>Entregable</t>
  </si>
  <si>
    <t>Responsable</t>
  </si>
  <si>
    <t>Estado</t>
  </si>
  <si>
    <t>Evidencia</t>
  </si>
  <si>
    <t>Notas</t>
  </si>
  <si>
    <t>Planeación Scrum, dataset y backlog</t>
  </si>
  <si>
    <t>EDA, limpieza y modelo base</t>
  </si>
  <si>
    <t>Base limpia + modelo preliminar + mockup dashboard</t>
  </si>
  <si>
    <t>Equipo completo</t>
  </si>
  <si>
    <t>Pendiente</t>
  </si>
  <si>
    <t>Videos Sprint 1</t>
  </si>
  <si>
    <t>Modelo final + dashboard</t>
  </si>
  <si>
    <t>Chatbot básico + demo + cierre</t>
  </si>
  <si>
    <t>MVP funcional + documentación + videos</t>
  </si>
  <si>
    <t>Videos Sprint 2</t>
  </si>
  <si>
    <t>Product Backlog priorizado</t>
  </si>
  <si>
    <t>Historias ajustadas a un alcance realista de 1 mes</t>
  </si>
  <si>
    <t>ID</t>
  </si>
  <si>
    <t>Prioridad</t>
  </si>
  <si>
    <t>Historia de usuario</t>
  </si>
  <si>
    <t>Criterios de aceptación</t>
  </si>
  <si>
    <t>Story points</t>
  </si>
  <si>
    <t>Dependencia</t>
  </si>
  <si>
    <t>US01</t>
  </si>
  <si>
    <t>Must Have</t>
  </si>
  <si>
    <t>Como equipo, quiero seleccionar y cargar una base pública de estudiantes para trabajar con datos reales en el proyecto.</t>
  </si>
  <si>
    <t>Dataset descargado; fuente documentada; diccionario de variables identificado; archivo base disponible para el equipo.</t>
  </si>
  <si>
    <t>Quirec Ángeles</t>
  </si>
  <si>
    <t>Ninguna</t>
  </si>
  <si>
    <t>Fuente sugerida: UCI Student Performance.</t>
  </si>
  <si>
    <t>US02</t>
  </si>
  <si>
    <t>Como equipo, quiero limpiar y preparar los datos para construir una variable de riesgo académico.</t>
  </si>
  <si>
    <t>Datos sin nulos críticos; variables categóricas tratadas; variable objetivo aprobó/reprobó definida; notebook o script reproducible.</t>
  </si>
  <si>
    <t>Definir criterio: G3 &gt;= 10 aprueba, G3 &lt; 10 reprueba.</t>
  </si>
  <si>
    <t>US03</t>
  </si>
  <si>
    <t>Como docente, quiero un modelo predictivo sencillo que estime si un estudiante podría aprobar o reprobar.</t>
  </si>
  <si>
    <t>Modelo entrenado con train/test; métrica básica calculada; matriz de confusión o accuracy visible; resultados explicables.</t>
  </si>
  <si>
    <t>Sprint 1-2</t>
  </si>
  <si>
    <t>Usar algoritmo sencillo: Regresión logística, árbol de decisión o Random Forest.</t>
  </si>
  <si>
    <t>US04</t>
  </si>
  <si>
    <t>Como docente, quiero ver un dashboard con estudiantes en riesgo para priorizar acciones de apoyo.</t>
  </si>
  <si>
    <t>Dashboard con tabla de estudiantes; filtros básicos; indicador de riesgo; visualización general; datos cargados desde CSV o modelo.</t>
  </si>
  <si>
    <t>José Luis</t>
  </si>
  <si>
    <t>Puede hacerse en Streamlit, Power BI o Excel.</t>
  </si>
  <si>
    <t>US05</t>
  </si>
  <si>
    <t>Should Have</t>
  </si>
  <si>
    <t>Como docente, quiero consultar un chatbot básico para recibir recomendaciones pedagógicas frente al riesgo de un estudiante.</t>
  </si>
  <si>
    <t>Chatbot responde preguntas predefinidas o guiadas; explica posibles causas de riesgo; sugiere acciones; no inventa datos no disponibles.</t>
  </si>
  <si>
    <t>Ana Clemencia</t>
  </si>
  <si>
    <t>US03-US04</t>
  </si>
  <si>
    <t>Alcance básico: reglas, preguntas frecuentes o prompt controlado.</t>
  </si>
  <si>
    <t>US06</t>
  </si>
  <si>
    <t>Como Product Owner, quiero revisar los incrementos de cada sprint y dejar retroalimentación para evidenciar el proceso Scrum.</t>
  </si>
  <si>
    <t>Sprint planning, dailys, review y retrospective grabadas; enlaces en Drive; feedback del PO registrado en el documento.</t>
  </si>
  <si>
    <t>Todos</t>
  </si>
  <si>
    <t>El foco de la entrega es documentar el proceso Scrum.</t>
  </si>
  <si>
    <t>US07</t>
  </si>
  <si>
    <t>Could Have</t>
  </si>
  <si>
    <t>Como equipo, queremos dejar una guía de instalación y demo para que el evaluador pueda replicar el MVP.</t>
  </si>
  <si>
    <t>README con pasos; enlace a repositorio o Drive; capturas o video demo final.</t>
  </si>
  <si>
    <t>US04-US05</t>
  </si>
  <si>
    <t>Deseable si alcanza el tiempo.</t>
  </si>
  <si>
    <t>Sprint 1 — Datos, backlog y modelo base</t>
  </si>
  <si>
    <t>Plan operativo editable: fechas, responsables, estado y evidencia</t>
  </si>
  <si>
    <t>Inicio</t>
  </si>
  <si>
    <t>Fin</t>
  </si>
  <si>
    <t>Historia</t>
  </si>
  <si>
    <t>Actividad operativa</t>
  </si>
  <si>
    <t>Entregable verificable</t>
  </si>
  <si>
    <t>Evidencia / enlace</t>
  </si>
  <si>
    <t>S1-T01</t>
  </si>
  <si>
    <t>Realizar Sprint Planning 1: objetivo del sprint, backlog comprometido, definición de terminado y responsables.</t>
  </si>
  <si>
    <t>Acta breve + video de planning + tablero inicial.</t>
  </si>
  <si>
    <t>Pegar link Drive</t>
  </si>
  <si>
    <t>S1-T02</t>
  </si>
  <si>
    <t>Descargar y revisar dataset UCI Student Performance; guardar fuente y variables principales.</t>
  </si>
  <si>
    <t>CSV en carpeta del proyecto + nota de fuente.</t>
  </si>
  <si>
    <t>S1-T03</t>
  </si>
  <si>
    <t>Explorar datos: tamaño, variables, nulos, tipos de datos y distribución de calificaciones.</t>
  </si>
  <si>
    <t>Notebook/Excel con EDA básico.</t>
  </si>
  <si>
    <t>S1-T04</t>
  </si>
  <si>
    <t>Definir variable objetivo: riesgo de reprobar o aprobar la materia.</t>
  </si>
  <si>
    <t>Criterio documentado y columna target creada.</t>
  </si>
  <si>
    <t>S1-T05</t>
  </si>
  <si>
    <t>Entrenar modelo baseline sencillo con pocas variables y medir resultado inicial.</t>
  </si>
  <si>
    <t>Script o notebook con modelo preliminar y métrica básica.</t>
  </si>
  <si>
    <t>S1-T06</t>
  </si>
  <si>
    <t>Diseñar mockup del dashboard docente: indicadores, tabla de estudiantes y filtros mínimos.</t>
  </si>
  <si>
    <t>Boceto en Miro/PowerPoint/Excel.</t>
  </si>
  <si>
    <t>S1-T07</t>
  </si>
  <si>
    <t>Grabar 2 o 3 Daily Scrum de 5 a 10 minutos con avances, bloqueos y próximos pasos.</t>
  </si>
  <si>
    <t>Links a dailys en Drive registrados.</t>
  </si>
  <si>
    <t>Pegar links Drive</t>
  </si>
  <si>
    <t>S1-T08</t>
  </si>
  <si>
    <t>Realizar Sprint Review 1 con Product Owner: mostrar dataset, EDA, modelo base y mockup.</t>
  </si>
  <si>
    <t>Video review + retroalimentación del PO registrada.</t>
  </si>
  <si>
    <t>S1-T05/S1-T06</t>
  </si>
  <si>
    <t>S1-T09</t>
  </si>
  <si>
    <t>Realizar Sprint Retrospective 1: qué funcionó, qué no, acciones de mejora para Sprint 2.</t>
  </si>
  <si>
    <t>Video retrospectiva + acuerdos del equipo.</t>
  </si>
  <si>
    <t>Resumen del sprint</t>
  </si>
  <si>
    <t>Total tareas</t>
  </si>
  <si>
    <t>Hechas</t>
  </si>
  <si>
    <t>% Avance</t>
  </si>
  <si>
    <t>Sprint 2 — MVP funcional, chatbot básico y demo</t>
  </si>
  <si>
    <t>S2-T01</t>
  </si>
  <si>
    <t>Realizar Sprint Planning 2 con ajustes del PO y backlog final del MVP.</t>
  </si>
  <si>
    <t>Video planning + tablero actualizado.</t>
  </si>
  <si>
    <t>S2-T02</t>
  </si>
  <si>
    <t>Mejorar modelo predictivo y seleccionar versión final para demo.</t>
  </si>
  <si>
    <t>Modelo final + métrica + variables usadas.</t>
  </si>
  <si>
    <t>S2-T03</t>
  </si>
  <si>
    <t>Construir dashboard docente con indicadores mínimos: total estudiantes, % en riesgo, tabla y filtros.</t>
  </si>
  <si>
    <t>Dashboard funcional en Streamlit/Power BI/Excel.</t>
  </si>
  <si>
    <t>S2-T04</t>
  </si>
  <si>
    <t>Integrar resultados del modelo al dashboard: columna riesgo, probabilidad o clasificación.</t>
  </si>
  <si>
    <t>Dashboard con salida del modelo visible.</t>
  </si>
  <si>
    <t>S2-T02/S2-T03</t>
  </si>
  <si>
    <t>S2-T05</t>
  </si>
  <si>
    <t>Crear chatbot básico con preguntas guiadas para interpretar riesgo y sugerir acciones al docente.</t>
  </si>
  <si>
    <t>Chatbot básico funcional o prototipo conversacional documentado.</t>
  </si>
  <si>
    <t>S2-T06</t>
  </si>
  <si>
    <t>Preparar README/demo: pasos de ejecución, fuente de datos, alcance y limitaciones.</t>
  </si>
  <si>
    <t>README o guía en Word/Drive.</t>
  </si>
  <si>
    <t>S2-T03/S2-T05</t>
  </si>
  <si>
    <t>S2-T07</t>
  </si>
  <si>
    <t>Grabar 2 o 3 Daily Scrum de 5 a 10 minutos.</t>
  </si>
  <si>
    <t>S2-T08</t>
  </si>
  <si>
    <t>Realizar Sprint Review 2: demo del MVP, feedback final del Product Owner.</t>
  </si>
  <si>
    <t>Video review + retroalimentación final.</t>
  </si>
  <si>
    <t>S2-T02/S2-T05</t>
  </si>
  <si>
    <t>S2-T09</t>
  </si>
  <si>
    <t>Realizar Sprint Retrospective 2 y cierre del proceso Scrum.</t>
  </si>
  <si>
    <t>Video retrospectiva + aprendizajes y mejoras.</t>
  </si>
  <si>
    <t>Plan de ceremonias Scrum y evidencias en video</t>
  </si>
  <si>
    <t>Pegar aquí los links de Drive de cada grabación</t>
  </si>
  <si>
    <t>Ceremonia</t>
  </si>
  <si>
    <t>Duración sugerida</t>
  </si>
  <si>
    <t>Fecha sugerida</t>
  </si>
  <si>
    <t>Participantes</t>
  </si>
  <si>
    <t>Link video Drive</t>
  </si>
  <si>
    <t>Producto de la ceremonia</t>
  </si>
  <si>
    <t>Sprint Planning</t>
  </si>
  <si>
    <t>Definir objetivo del sprint, historias comprometidas, responsables y DoD.</t>
  </si>
  <si>
    <t>20-30 min</t>
  </si>
  <si>
    <t>Backlog Sprint 1 acordado</t>
  </si>
  <si>
    <t>Daily Scrum 1</t>
  </si>
  <si>
    <t>Revisar avance inicial, bloqueos y próximos pasos.</t>
  </si>
  <si>
    <t>5-10 min</t>
  </si>
  <si>
    <t>Minuta breve de avances</t>
  </si>
  <si>
    <t>Daily Scrum 2</t>
  </si>
  <si>
    <t>Revisar avance del EDA/modelo base y bloqueos.</t>
  </si>
  <si>
    <t>Daily Scrum 3</t>
  </si>
  <si>
    <t>Preparar cierre, demo y pendientes para review.</t>
  </si>
  <si>
    <t>Sprint Review</t>
  </si>
  <si>
    <t>Mostrar dataset, EDA, modelo base y mockup dashboard al Product Owner.</t>
  </si>
  <si>
    <t>15-20 min</t>
  </si>
  <si>
    <t>Equipo + PO</t>
  </si>
  <si>
    <t>Feedback del PO registrado</t>
  </si>
  <si>
    <t>Sprint Retrospective</t>
  </si>
  <si>
    <t>Identificar aprendizajes y mejoras para Sprint 2.</t>
  </si>
  <si>
    <t>10-15 min</t>
  </si>
  <si>
    <t>Acciones de mejora</t>
  </si>
  <si>
    <t>Ajustar backlog según feedback del PO y planear MVP final.</t>
  </si>
  <si>
    <t>Backlog Sprint 2 acordado</t>
  </si>
  <si>
    <t>Revisar avance del modelo final y dashboard.</t>
  </si>
  <si>
    <t>Revisar integración dashboard + chatbot básico.</t>
  </si>
  <si>
    <t>Preparar demo final, documentación y evidencia.</t>
  </si>
  <si>
    <t>Presentar MVP funcional y recoger feedback final del Product Owner.</t>
  </si>
  <si>
    <t>Feedback final del PO</t>
  </si>
  <si>
    <t>Cerrar el proceso Scrum, aprendizajes y mejoras futuras.</t>
  </si>
  <si>
    <t>Conclusiones de retrospectiva</t>
  </si>
  <si>
    <t>Definición de terminado, criterios de aceptación y riesgos</t>
  </si>
  <si>
    <t>Usar esta hoja para controlar calidad y decisiones del alcance</t>
  </si>
  <si>
    <t>Elemento</t>
  </si>
  <si>
    <t>Criterio de terminado</t>
  </si>
  <si>
    <t>Evidencia esperada</t>
  </si>
  <si>
    <t>Observaciones</t>
  </si>
  <si>
    <t>Dataset</t>
  </si>
  <si>
    <t>Fuente pública documentada, archivo descargado y variables principales entendidas.</t>
  </si>
  <si>
    <t>CSV + enlace fuente</t>
  </si>
  <si>
    <t>Datos preparados</t>
  </si>
  <si>
    <t>Limpieza básica ejecutada, target aprobado/reprobado definido y datos listos para entrenar.</t>
  </si>
  <si>
    <t>Notebook/script</t>
  </si>
  <si>
    <t>Modelo</t>
  </si>
  <si>
    <t>Modelo simple entrenado, evaluado y explicado de forma entendible para profesor.</t>
  </si>
  <si>
    <t>Métrica + matriz/confusión o accuracy</t>
  </si>
  <si>
    <t>Dashboard</t>
  </si>
  <si>
    <t>Muestra estudiantes en riesgo, indicadores básicos y filtros simples.</t>
  </si>
  <si>
    <t>Link/app/archivo dashboard</t>
  </si>
  <si>
    <t>Chatbot básico</t>
  </si>
  <si>
    <t>Responde preguntas guiadas y recomendaciones sin inventar información.</t>
  </si>
  <si>
    <t>Demo o prototipo</t>
  </si>
  <si>
    <t>Scrum</t>
  </si>
  <si>
    <t>Planning, dailys, reviews y retrospectives grabadas con enlaces en Drive.</t>
  </si>
  <si>
    <t>Links en hoja Ceremonias</t>
  </si>
  <si>
    <t>Documento final</t>
  </si>
  <si>
    <t>Incluye roles, visión, stakeholders, backlog, roadmap, proceso Scrum y uso de IA.</t>
  </si>
  <si>
    <t>Documento actualizado</t>
  </si>
  <si>
    <t>Riesgo</t>
  </si>
  <si>
    <t>Impacto</t>
  </si>
  <si>
    <t>Probabilidad</t>
  </si>
  <si>
    <t>Mitigación</t>
  </si>
  <si>
    <t>El alcance se vuelve demasiado grande</t>
  </si>
  <si>
    <t>Alto</t>
  </si>
  <si>
    <t>Media</t>
  </si>
  <si>
    <t>Mantener solo modelo, dashboard y chatbot básico. Todo extra pasa a futuro.</t>
  </si>
  <si>
    <t>El modelo no logra buena precisión</t>
  </si>
  <si>
    <t>Medio</t>
  </si>
  <si>
    <t>Usar un modelo simple y explicar que el foco es el proceso Scrum, no maximizar performance.</t>
  </si>
  <si>
    <t>No se alcanzan a grabar todas las ceremonias</t>
  </si>
  <si>
    <t>Programar desde el inicio los videos obligatorios y pegar enlaces en esta matriz.</t>
  </si>
  <si>
    <t>Dificultad técnica con dashboard o chatbot</t>
  </si>
  <si>
    <t>Usar Streamlit/Excel/Power BI y chatbot basado en reglas si no alcanza IA generativa.</t>
  </si>
  <si>
    <t>Falta de retroalimentación del PO</t>
  </si>
  <si>
    <t>Baja</t>
  </si>
  <si>
    <t>Agendar review con anticipación y llevar preguntas concretas de validación.</t>
  </si>
  <si>
    <t>En curso</t>
  </si>
  <si>
    <t>Bloqueado</t>
  </si>
  <si>
    <t>Hecho</t>
  </si>
  <si>
    <t>No aplica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</si>
</sst>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7">
    <font>
      <sz val="11.0"/>
      <color rgb="FF000000"/>
      <name val="Carlito"/>
      <scheme val="minor"/>
    </font>
    <font>
      <b/>
      <sz val="16.0"/>
      <color rgb="FFFFFFFF"/>
      <name val="Carlito"/>
    </font>
    <font>
      <i/>
      <sz val="11.0"/>
      <color rgb="FF1F4E78"/>
      <name val="Carlito"/>
    </font>
    <font>
      <b/>
      <sz val="11.0"/>
      <color rgb="FFFFFFFF"/>
      <name val="Carlito"/>
    </font>
    <font>
      <sz val="11.0"/>
      <color theme="1"/>
      <name val="Carlito"/>
    </font>
    <font>
      <b/>
      <sz val="11.0"/>
      <color theme="1"/>
      <name val="Carlito"/>
    </font>
    <font>
      <color theme="1"/>
      <name val="Carlito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2F2F2"/>
        <bgColor rgb="FFF2F2F2"/>
      </patternFill>
    </fill>
  </fills>
  <borders count="1">
    <border/>
  </borders>
  <cellStyleXfs count="1">
    <xf borderId="0" fillId="0" fontId="0" numFmtId="0" applyAlignment="1" applyFont="1"/>
  </cellStyleXfs>
  <cellXfs count="2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vertical="center"/>
    </xf>
    <xf borderId="0" fillId="2" fontId="3" numFmtId="0" xfId="0" applyAlignment="1" applyFont="1">
      <alignment horizontal="center" shrinkToFit="0" vertical="top" wrapText="1"/>
    </xf>
    <xf borderId="0" fillId="0" fontId="4" numFmtId="0" xfId="0" applyAlignment="1" applyFont="1">
      <alignment vertical="top"/>
    </xf>
    <xf borderId="0" fillId="2" fontId="3" numFmtId="0" xfId="0" applyAlignment="1" applyFont="1">
      <alignment horizontal="center" shrinkToFit="0" vertical="center" wrapText="1"/>
    </xf>
    <xf borderId="0" fillId="4" fontId="5" numFmtId="0" xfId="0" applyAlignment="1" applyFill="1" applyFont="1">
      <alignment vertical="top"/>
    </xf>
    <xf borderId="0" fillId="0" fontId="4" numFmtId="0" xfId="0" applyAlignment="1" applyFont="1">
      <alignment shrinkToFit="0" vertical="top" wrapText="1"/>
    </xf>
    <xf borderId="0" fillId="4" fontId="5" numFmtId="0" xfId="0" applyAlignment="1" applyFont="1">
      <alignment shrinkToFit="0" vertical="top" wrapText="1"/>
    </xf>
    <xf borderId="0" fillId="0" fontId="4" numFmtId="9" xfId="0" applyAlignment="1" applyFont="1" applyNumberFormat="1">
      <alignment shrinkToFit="0" vertical="top" wrapText="1"/>
    </xf>
    <xf borderId="0" fillId="0" fontId="4" numFmtId="164" xfId="0" applyAlignment="1" applyFont="1" applyNumberFormat="1">
      <alignment shrinkToFit="0" vertical="top" wrapText="1"/>
    </xf>
    <xf borderId="0" fillId="2" fontId="3" numFmtId="0" xfId="0" applyAlignment="1" applyFont="1">
      <alignment horizontal="center" shrinkToFit="0" vertical="center" wrapText="1"/>
    </xf>
    <xf borderId="0" fillId="0" fontId="5" numFmtId="0" xfId="0" applyAlignment="1" applyFont="1">
      <alignment shrinkToFit="0" wrapText="1"/>
    </xf>
    <xf borderId="0" fillId="0" fontId="4" numFmtId="0" xfId="0" applyAlignment="1" applyFont="1">
      <alignment shrinkToFit="0" wrapText="1"/>
    </xf>
    <xf borderId="0" fillId="0" fontId="6" numFmtId="0" xfId="0" applyFont="1"/>
    <xf borderId="0" fillId="4" fontId="5" numFmtId="0" xfId="0" applyAlignment="1" applyFont="1">
      <alignment vertical="center"/>
    </xf>
    <xf borderId="0" fillId="4" fontId="5" numFmtId="164" xfId="0" applyAlignment="1" applyFont="1" applyNumberFormat="1">
      <alignment vertical="center"/>
    </xf>
    <xf borderId="0" fillId="0" fontId="4" numFmtId="0" xfId="0" applyAlignment="1" applyFont="1">
      <alignment shrinkToFit="0" vertical="top" wrapText="1"/>
    </xf>
    <xf borderId="0" fillId="0" fontId="4" numFmtId="164" xfId="0" applyAlignment="1" applyFont="1" applyNumberFormat="1">
      <alignment shrinkToFit="0" vertical="top" wrapText="1"/>
    </xf>
    <xf borderId="0" fillId="0" fontId="4" numFmtId="9" xfId="0" applyFont="1" applyNumberFormat="1"/>
    <xf borderId="0" fillId="0" fontId="4" numFmtId="164" xfId="0" applyAlignment="1" applyFont="1" applyNumberFormat="1">
      <alignment shrinkToFit="0" wrapText="1"/>
    </xf>
    <xf borderId="0" fillId="0" fontId="4" numFmtId="0" xfId="0" applyAlignment="1" applyFont="1">
      <alignment shrinkToFit="0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6">
    <tableStyle count="3" pivot="0" name="Backlog-style">
      <tableStyleElement dxfId="1" type="headerRow"/>
      <tableStyleElement dxfId="2" type="firstRowStripe"/>
      <tableStyleElement dxfId="3" type="secondRowStripe"/>
    </tableStyle>
    <tableStyle count="3" pivot="0" name="Sprint 1-style">
      <tableStyleElement dxfId="1" type="headerRow"/>
      <tableStyleElement dxfId="2" type="firstRowStripe"/>
      <tableStyleElement dxfId="3" type="secondRowStripe"/>
    </tableStyle>
    <tableStyle count="3" pivot="0" name="Sprint 2-style">
      <tableStyleElement dxfId="1" type="headerRow"/>
      <tableStyleElement dxfId="2" type="firstRowStripe"/>
      <tableStyleElement dxfId="3" type="secondRowStripe"/>
    </tableStyle>
    <tableStyle count="3" pivot="0" name="Ceremonias y videos-style">
      <tableStyleElement dxfId="1" type="headerRow"/>
      <tableStyleElement dxfId="2" type="firstRowStripe"/>
      <tableStyleElement dxfId="3" type="secondRowStripe"/>
    </tableStyle>
    <tableStyle count="3" pivot="0" name="DoD y riesgos-style">
      <tableStyleElement dxfId="1" type="headerRow"/>
      <tableStyleElement dxfId="2" type="firstRowStripe"/>
      <tableStyleElement dxfId="3" type="secondRowStripe"/>
    </tableStyle>
    <tableStyle count="3" pivot="0" name="DoD y riesgos-style 2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Carga operativa por componente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Tareas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Dashboard!$I$5:$I$7</c:f>
            </c:strRef>
          </c:cat>
          <c:val>
            <c:numRef>
              <c:f>Dashboard!$J$5:$J$7</c:f>
              <c:numCache/>
            </c:numRef>
          </c:val>
        </c:ser>
        <c:axId val="1391010732"/>
        <c:axId val="595657955"/>
      </c:barChart>
      <c:catAx>
        <c:axId val="13910107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95657955"/>
      </c:catAx>
      <c:valAx>
        <c:axId val="5956579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91010732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1381125</xdr:colOff>
      <xdr:row>19</xdr:row>
      <xdr:rowOff>152400</xdr:rowOff>
    </xdr:from>
    <xdr:ext cx="7162800" cy="2600325"/>
    <xdr:graphicFrame>
      <xdr:nvGraphicFramePr>
        <xdr:cNvPr id="948017850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J11" displayName="Table_1" name="Table_1" id="1">
  <tableColumns count="10">
    <tableColumn name="ID" id="1"/>
    <tableColumn name="Prioridad" id="2"/>
    <tableColumn name="Historia de usuario" id="3"/>
    <tableColumn name="Criterios de aceptación" id="4"/>
    <tableColumn name="Sprint" id="5"/>
    <tableColumn name="Story points" id="6"/>
    <tableColumn name="Responsable" id="7"/>
    <tableColumn name="Dependencia" id="8"/>
    <tableColumn name="Estado" id="9"/>
    <tableColumn name="Notas" id="10"/>
  </tableColumns>
  <tableStyleInfo name="Backlog-style" showColumnStripes="0" showFirstColumn="1" showLastColumn="1" showRowStripes="1"/>
</table>
</file>

<file path=xl/tables/table2.xml><?xml version="1.0" encoding="utf-8"?>
<table xmlns="http://schemas.openxmlformats.org/spreadsheetml/2006/main" ref="A5:J14" displayName="Table_2" name="Table_2" id="2">
  <tableColumns count="10">
    <tableColumn name="ID" id="1"/>
    <tableColumn name="Historia" id="2"/>
    <tableColumn name="Actividad operativa" id="3"/>
    <tableColumn name="Entregable verificable" id="4"/>
    <tableColumn name="Inicio" id="5"/>
    <tableColumn name="Fin" id="6"/>
    <tableColumn name="Responsable" id="7"/>
    <tableColumn name="Estado" id="8"/>
    <tableColumn name="Dependencia" id="9"/>
    <tableColumn name="Evidencia / enlace" id="10"/>
  </tableColumns>
  <tableStyleInfo name="Sprint 1-style" showColumnStripes="0" showFirstColumn="1" showLastColumn="1" showRowStripes="1"/>
</table>
</file>

<file path=xl/tables/table3.xml><?xml version="1.0" encoding="utf-8"?>
<table xmlns="http://schemas.openxmlformats.org/spreadsheetml/2006/main" ref="A5:J14" displayName="Table_3" name="Table_3" id="3">
  <tableColumns count="10">
    <tableColumn name="ID" id="1"/>
    <tableColumn name="Historia" id="2"/>
    <tableColumn name="Actividad operativa" id="3"/>
    <tableColumn name="Entregable verificable" id="4"/>
    <tableColumn name="Inicio" id="5"/>
    <tableColumn name="Fin" id="6"/>
    <tableColumn name="Responsable" id="7"/>
    <tableColumn name="Estado" id="8"/>
    <tableColumn name="Dependencia" id="9"/>
    <tableColumn name="Evidencia / enlace" id="10"/>
  </tableColumns>
  <tableStyleInfo name="Sprint 2-style" showColumnStripes="0" showFirstColumn="1" showLastColumn="1" showRowStripes="1"/>
</table>
</file>

<file path=xl/tables/table4.xml><?xml version="1.0" encoding="utf-8"?>
<table xmlns="http://schemas.openxmlformats.org/spreadsheetml/2006/main" ref="A4:I16" displayName="Table_4" name="Table_4" id="4">
  <tableColumns count="9">
    <tableColumn name="Sprint" id="1"/>
    <tableColumn name="Ceremonia" id="2"/>
    <tableColumn name="Objetivo" id="3"/>
    <tableColumn name="Duración sugerida" id="4"/>
    <tableColumn name="Fecha sugerida" id="5"/>
    <tableColumn name="Participantes" id="6"/>
    <tableColumn name="Link video Drive" id="7"/>
    <tableColumn name="Producto de la ceremonia" id="8"/>
    <tableColumn name="Estado" id="9"/>
  </tableColumns>
  <tableStyleInfo name="Ceremonias y videos-style" showColumnStripes="0" showFirstColumn="1" showLastColumn="1" showRowStripes="1"/>
</table>
</file>

<file path=xl/tables/table5.xml><?xml version="1.0" encoding="utf-8"?>
<table xmlns="http://schemas.openxmlformats.org/spreadsheetml/2006/main" ref="A4:F11" displayName="Table_5" name="Table_5" id="5">
  <tableColumns count="6">
    <tableColumn name="Elemento" id="1"/>
    <tableColumn name="Criterio de terminado" id="2"/>
    <tableColumn name="Responsable" id="3"/>
    <tableColumn name="Evidencia esperada" id="4"/>
    <tableColumn name="Estado" id="5"/>
    <tableColumn name="Observaciones" id="6"/>
  </tableColumns>
  <tableStyleInfo name="DoD y riesgos-style" showColumnStripes="0" showFirstColumn="1" showLastColumn="1" showRowStripes="1"/>
</table>
</file>

<file path=xl/tables/table6.xml><?xml version="1.0" encoding="utf-8"?>
<table xmlns="http://schemas.openxmlformats.org/spreadsheetml/2006/main" ref="A16:F21" displayName="Table_6" name="Table_6" id="6">
  <tableColumns count="6">
    <tableColumn name="Riesgo" id="1"/>
    <tableColumn name="Impacto" id="2"/>
    <tableColumn name="Probabilidad" id="3"/>
    <tableColumn name="Mitigación" id="4"/>
    <tableColumn name="Estado" id="5"/>
    <tableColumn name="Responsable" id="6"/>
  </tableColumns>
  <tableStyleInfo name="DoD y riesgos-style 2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Relationship Id="rId5" Type="http://schemas.openxmlformats.org/officeDocument/2006/relationships/table" Target="../tables/table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5" width="22.0"/>
    <col customWidth="1" min="6" max="6" width="32.0"/>
    <col customWidth="1" min="7" max="7" width="18.0"/>
    <col customWidth="1" min="8" max="8" width="14.0"/>
    <col customWidth="1" min="9" max="9" width="18.0"/>
    <col customWidth="1" min="10" max="10" width="24.0"/>
    <col customWidth="1" min="11" max="26" width="8.63"/>
  </cols>
  <sheetData>
    <row r="1" ht="27.75" customHeight="1">
      <c r="A1" s="1" t="s">
        <v>0</v>
      </c>
    </row>
    <row r="2" ht="24.0" customHeight="1">
      <c r="A2" s="2" t="s">
        <v>1</v>
      </c>
    </row>
    <row r="4">
      <c r="A4" s="3" t="s">
        <v>2</v>
      </c>
      <c r="B4" s="3" t="s">
        <v>3</v>
      </c>
      <c r="C4" s="4"/>
      <c r="D4" s="3" t="s">
        <v>4</v>
      </c>
      <c r="E4" s="3" t="s">
        <v>5</v>
      </c>
      <c r="F4" s="3" t="s">
        <v>6</v>
      </c>
      <c r="G4" s="3" t="s">
        <v>7</v>
      </c>
      <c r="H4" s="4"/>
      <c r="I4" s="5" t="s">
        <v>8</v>
      </c>
      <c r="J4" s="5" t="s">
        <v>9</v>
      </c>
    </row>
    <row r="5">
      <c r="A5" s="6" t="s">
        <v>10</v>
      </c>
      <c r="B5" s="7" t="s">
        <v>11</v>
      </c>
      <c r="C5" s="4"/>
      <c r="D5" s="8" t="s">
        <v>12</v>
      </c>
      <c r="E5" s="7" t="s">
        <v>13</v>
      </c>
      <c r="F5" s="9">
        <f>IFERROR((COUNTIF('Sprint 1'!H6:H25,"Hecho")+COUNTIF('Sprint 2'!H6:H25,"Hecho"))/(COUNTA('Sprint 1'!A6:A25)+COUNTA('Sprint 2'!A6:A25)),0)</f>
        <v>0</v>
      </c>
      <c r="G5" s="7" t="str">
        <f>IF(F5&gt;=0.85,"Verde",IF(F5&gt;=0.6,"Amarillo","Rojo"))</f>
        <v>Rojo</v>
      </c>
      <c r="H5" s="4"/>
      <c r="I5" s="4" t="s">
        <v>14</v>
      </c>
      <c r="J5" s="4">
        <f t="shared" ref="J5:J6" si="1">F6</f>
        <v>11</v>
      </c>
    </row>
    <row r="6">
      <c r="A6" s="6" t="s">
        <v>15</v>
      </c>
      <c r="B6" s="7" t="s">
        <v>16</v>
      </c>
      <c r="C6" s="4"/>
      <c r="D6" s="8" t="s">
        <v>17</v>
      </c>
      <c r="E6" s="7" t="s">
        <v>18</v>
      </c>
      <c r="F6" s="7">
        <f>COUNTA('Sprint 1'!A6:A25)</f>
        <v>11</v>
      </c>
      <c r="G6" s="7"/>
      <c r="H6" s="4"/>
      <c r="I6" s="4" t="s">
        <v>19</v>
      </c>
      <c r="J6" s="4">
        <f t="shared" si="1"/>
        <v>11</v>
      </c>
    </row>
    <row r="7">
      <c r="A7" s="6" t="s">
        <v>20</v>
      </c>
      <c r="B7" s="10">
        <v>46174.0</v>
      </c>
      <c r="C7" s="4"/>
      <c r="D7" s="8" t="s">
        <v>21</v>
      </c>
      <c r="E7" s="7" t="s">
        <v>18</v>
      </c>
      <c r="F7" s="7">
        <f>COUNTA('Sprint 2'!A6:A25)</f>
        <v>11</v>
      </c>
      <c r="G7" s="7"/>
      <c r="H7" s="4"/>
      <c r="I7" s="4" t="s">
        <v>22</v>
      </c>
      <c r="J7" s="4">
        <f>COUNTA('Ceremonias y videos'!A5:A16)</f>
        <v>12</v>
      </c>
    </row>
    <row r="8">
      <c r="A8" s="6" t="s">
        <v>23</v>
      </c>
      <c r="B8" s="7" t="s">
        <v>24</v>
      </c>
      <c r="C8" s="4"/>
      <c r="D8" s="8" t="s">
        <v>25</v>
      </c>
      <c r="E8" s="7" t="s">
        <v>26</v>
      </c>
      <c r="F8" s="9">
        <f>IFERROR(COUNTIF('Ceremonias y videos'!G6:G25,"&lt;&gt;")/COUNTA('Ceremonias y videos'!A6:A25),0)</f>
        <v>0</v>
      </c>
      <c r="G8" s="7" t="str">
        <f>IF(F8&gt;=0.8,"Verde",IF(F8&gt;=0.5,"Amarillo","Rojo"))</f>
        <v>Rojo</v>
      </c>
      <c r="H8" s="4"/>
      <c r="I8" s="4"/>
      <c r="J8" s="4"/>
    </row>
    <row r="9">
      <c r="A9" s="6" t="s">
        <v>27</v>
      </c>
      <c r="B9" s="7" t="s">
        <v>28</v>
      </c>
      <c r="C9" s="4"/>
      <c r="D9" s="8" t="s">
        <v>29</v>
      </c>
      <c r="E9" s="7" t="s">
        <v>30</v>
      </c>
      <c r="F9" s="7">
        <f>COUNTIF('DoD y riesgos'!E18:E30,"Pendiente")+COUNTIF('DoD y riesgos'!E18:E30,"En curso")</f>
        <v>4</v>
      </c>
      <c r="G9" s="7"/>
      <c r="H9" s="4"/>
      <c r="I9" s="4"/>
      <c r="J9" s="4"/>
    </row>
    <row r="10">
      <c r="A10" s="6" t="s">
        <v>31</v>
      </c>
      <c r="B10" s="7" t="s">
        <v>32</v>
      </c>
      <c r="C10" s="4"/>
      <c r="D10" s="8" t="s">
        <v>33</v>
      </c>
      <c r="E10" s="7" t="s">
        <v>34</v>
      </c>
      <c r="F10" s="7" t="s">
        <v>35</v>
      </c>
      <c r="G10" s="7"/>
      <c r="H10" s="4"/>
      <c r="I10" s="4"/>
      <c r="J10" s="4"/>
    </row>
    <row r="11">
      <c r="A11" s="6" t="s">
        <v>36</v>
      </c>
      <c r="B11" s="7" t="s">
        <v>37</v>
      </c>
      <c r="C11" s="4"/>
      <c r="D11" s="4"/>
      <c r="E11" s="4"/>
      <c r="F11" s="4"/>
      <c r="G11" s="4"/>
      <c r="H11" s="4"/>
      <c r="I11" s="4"/>
      <c r="J11" s="4"/>
    </row>
    <row r="12">
      <c r="A12" s="4"/>
      <c r="B12" s="4"/>
      <c r="C12" s="4"/>
      <c r="D12" s="4"/>
      <c r="E12" s="4"/>
      <c r="F12" s="4"/>
      <c r="G12" s="4"/>
      <c r="H12" s="4"/>
      <c r="I12" s="4"/>
      <c r="J12" s="4"/>
    </row>
    <row r="13">
      <c r="A13" s="4"/>
      <c r="B13" s="4"/>
      <c r="C13" s="4"/>
      <c r="D13" s="4"/>
      <c r="E13" s="4"/>
      <c r="F13" s="4"/>
      <c r="G13" s="4"/>
      <c r="H13" s="4"/>
      <c r="I13" s="4"/>
      <c r="J13" s="4"/>
    </row>
    <row r="14">
      <c r="A14" s="3" t="s">
        <v>38</v>
      </c>
      <c r="B14" s="3" t="s">
        <v>39</v>
      </c>
      <c r="C14" s="3" t="s">
        <v>40</v>
      </c>
      <c r="D14" s="3" t="s">
        <v>41</v>
      </c>
      <c r="E14" s="3" t="s">
        <v>42</v>
      </c>
      <c r="F14" s="3" t="s">
        <v>43</v>
      </c>
      <c r="G14" s="3" t="s">
        <v>44</v>
      </c>
      <c r="H14" s="3" t="s">
        <v>45</v>
      </c>
      <c r="I14" s="3" t="s">
        <v>46</v>
      </c>
      <c r="J14" s="3" t="s">
        <v>47</v>
      </c>
    </row>
    <row r="15">
      <c r="A15" s="7" t="s">
        <v>14</v>
      </c>
      <c r="B15" s="7" t="s">
        <v>48</v>
      </c>
      <c r="C15" s="7" t="s">
        <v>49</v>
      </c>
      <c r="D15" s="7"/>
      <c r="E15" s="7"/>
      <c r="F15" s="7" t="s">
        <v>50</v>
      </c>
      <c r="G15" s="7" t="s">
        <v>51</v>
      </c>
      <c r="H15" s="7" t="s">
        <v>52</v>
      </c>
      <c r="I15" s="7" t="s">
        <v>53</v>
      </c>
      <c r="J15" s="7"/>
    </row>
    <row r="16">
      <c r="A16" s="7" t="s">
        <v>19</v>
      </c>
      <c r="B16" s="7"/>
      <c r="C16" s="7"/>
      <c r="D16" s="7" t="s">
        <v>54</v>
      </c>
      <c r="E16" s="7" t="s">
        <v>55</v>
      </c>
      <c r="F16" s="7" t="s">
        <v>56</v>
      </c>
      <c r="G16" s="7" t="s">
        <v>51</v>
      </c>
      <c r="H16" s="7" t="s">
        <v>52</v>
      </c>
      <c r="I16" s="7" t="s">
        <v>57</v>
      </c>
      <c r="J16" s="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14.0"/>
    <col customWidth="1" min="3" max="3" width="42.0"/>
    <col customWidth="1" min="4" max="4" width="46.0"/>
    <col customWidth="1" min="5" max="5" width="13.0"/>
    <col customWidth="1" min="6" max="6" width="12.0"/>
    <col customWidth="1" min="7" max="8" width="18.0"/>
    <col customWidth="1" min="9" max="9" width="13.0"/>
    <col customWidth="1" min="10" max="10" width="30.0"/>
    <col customWidth="1" min="11" max="26" width="8.63"/>
  </cols>
  <sheetData>
    <row r="1" ht="27.75" customHeight="1">
      <c r="A1" s="1" t="s">
        <v>58</v>
      </c>
    </row>
    <row r="2" ht="24.0" customHeight="1">
      <c r="A2" s="2" t="s">
        <v>59</v>
      </c>
    </row>
    <row r="4">
      <c r="A4" s="11" t="s">
        <v>60</v>
      </c>
      <c r="B4" s="11" t="s">
        <v>61</v>
      </c>
      <c r="C4" s="11" t="s">
        <v>62</v>
      </c>
      <c r="D4" s="11" t="s">
        <v>63</v>
      </c>
      <c r="E4" s="11" t="s">
        <v>8</v>
      </c>
      <c r="F4" s="11" t="s">
        <v>64</v>
      </c>
      <c r="G4" s="11" t="s">
        <v>44</v>
      </c>
      <c r="H4" s="11" t="s">
        <v>65</v>
      </c>
      <c r="I4" s="11" t="s">
        <v>45</v>
      </c>
      <c r="J4" s="11" t="s">
        <v>47</v>
      </c>
    </row>
    <row r="5">
      <c r="A5" s="12" t="s">
        <v>66</v>
      </c>
      <c r="B5" s="13" t="s">
        <v>67</v>
      </c>
      <c r="C5" s="13" t="s">
        <v>68</v>
      </c>
      <c r="D5" s="13" t="s">
        <v>69</v>
      </c>
      <c r="E5" s="13" t="s">
        <v>14</v>
      </c>
      <c r="F5" s="13">
        <v>3.0</v>
      </c>
      <c r="G5" s="13" t="s">
        <v>70</v>
      </c>
      <c r="H5" s="13" t="s">
        <v>71</v>
      </c>
      <c r="I5" s="13" t="s">
        <v>52</v>
      </c>
      <c r="J5" s="13" t="s">
        <v>72</v>
      </c>
    </row>
    <row r="6">
      <c r="A6" s="12" t="s">
        <v>73</v>
      </c>
      <c r="B6" s="13" t="s">
        <v>67</v>
      </c>
      <c r="C6" s="13" t="s">
        <v>74</v>
      </c>
      <c r="D6" s="13" t="s">
        <v>75</v>
      </c>
      <c r="E6" s="13" t="s">
        <v>14</v>
      </c>
      <c r="F6" s="13">
        <v>5.0</v>
      </c>
      <c r="G6" s="13" t="s">
        <v>70</v>
      </c>
      <c r="H6" s="13" t="s">
        <v>66</v>
      </c>
      <c r="I6" s="13" t="s">
        <v>52</v>
      </c>
      <c r="J6" s="13" t="s">
        <v>76</v>
      </c>
    </row>
    <row r="7">
      <c r="A7" s="12" t="s">
        <v>77</v>
      </c>
      <c r="B7" s="13" t="s">
        <v>67</v>
      </c>
      <c r="C7" s="13" t="s">
        <v>78</v>
      </c>
      <c r="D7" s="13" t="s">
        <v>79</v>
      </c>
      <c r="E7" s="13" t="s">
        <v>80</v>
      </c>
      <c r="F7" s="13">
        <v>5.0</v>
      </c>
      <c r="G7" s="13" t="s">
        <v>70</v>
      </c>
      <c r="H7" s="13" t="s">
        <v>73</v>
      </c>
      <c r="I7" s="13" t="s">
        <v>52</v>
      </c>
      <c r="J7" s="13" t="s">
        <v>81</v>
      </c>
    </row>
    <row r="8">
      <c r="A8" s="12" t="s">
        <v>82</v>
      </c>
      <c r="B8" s="13" t="s">
        <v>67</v>
      </c>
      <c r="C8" s="13" t="s">
        <v>83</v>
      </c>
      <c r="D8" s="13" t="s">
        <v>84</v>
      </c>
      <c r="E8" s="13" t="s">
        <v>19</v>
      </c>
      <c r="F8" s="13">
        <v>8.0</v>
      </c>
      <c r="G8" s="13" t="s">
        <v>85</v>
      </c>
      <c r="H8" s="13" t="s">
        <v>77</v>
      </c>
      <c r="I8" s="13" t="s">
        <v>52</v>
      </c>
      <c r="J8" s="13" t="s">
        <v>86</v>
      </c>
    </row>
    <row r="9">
      <c r="A9" s="12" t="s">
        <v>87</v>
      </c>
      <c r="B9" s="13" t="s">
        <v>88</v>
      </c>
      <c r="C9" s="13" t="s">
        <v>89</v>
      </c>
      <c r="D9" s="13" t="s">
        <v>90</v>
      </c>
      <c r="E9" s="13" t="s">
        <v>19</v>
      </c>
      <c r="F9" s="13">
        <v>5.0</v>
      </c>
      <c r="G9" s="13" t="s">
        <v>91</v>
      </c>
      <c r="H9" s="13" t="s">
        <v>92</v>
      </c>
      <c r="I9" s="13" t="s">
        <v>52</v>
      </c>
      <c r="J9" s="13" t="s">
        <v>93</v>
      </c>
    </row>
    <row r="10">
      <c r="A10" s="12" t="s">
        <v>94</v>
      </c>
      <c r="B10" s="13" t="s">
        <v>67</v>
      </c>
      <c r="C10" s="13" t="s">
        <v>95</v>
      </c>
      <c r="D10" s="13" t="s">
        <v>96</v>
      </c>
      <c r="E10" s="13" t="s">
        <v>80</v>
      </c>
      <c r="F10" s="13">
        <v>3.0</v>
      </c>
      <c r="G10" s="13" t="s">
        <v>91</v>
      </c>
      <c r="H10" s="13" t="s">
        <v>97</v>
      </c>
      <c r="I10" s="13" t="s">
        <v>52</v>
      </c>
      <c r="J10" s="13" t="s">
        <v>98</v>
      </c>
    </row>
    <row r="11">
      <c r="A11" s="12" t="s">
        <v>99</v>
      </c>
      <c r="B11" s="13" t="s">
        <v>100</v>
      </c>
      <c r="C11" s="13" t="s">
        <v>101</v>
      </c>
      <c r="D11" s="13" t="s">
        <v>102</v>
      </c>
      <c r="E11" s="13" t="s">
        <v>19</v>
      </c>
      <c r="F11" s="13">
        <v>2.0</v>
      </c>
      <c r="G11" s="13" t="s">
        <v>85</v>
      </c>
      <c r="H11" s="13" t="s">
        <v>103</v>
      </c>
      <c r="I11" s="13" t="s">
        <v>52</v>
      </c>
      <c r="J11" s="13" t="s">
        <v>104</v>
      </c>
    </row>
    <row r="12">
      <c r="B12" s="14"/>
      <c r="G12" s="14"/>
      <c r="I12" s="14"/>
    </row>
    <row r="13">
      <c r="B13" s="14"/>
      <c r="G13" s="14"/>
      <c r="I13" s="14"/>
    </row>
    <row r="14">
      <c r="B14" s="14"/>
      <c r="G14" s="14"/>
      <c r="I14" s="14"/>
    </row>
    <row r="15">
      <c r="B15" s="14"/>
      <c r="G15" s="14"/>
      <c r="I15" s="14"/>
    </row>
    <row r="16">
      <c r="B16" s="14"/>
      <c r="G16" s="14"/>
      <c r="I16" s="14"/>
    </row>
    <row r="17">
      <c r="B17" s="14"/>
      <c r="G17" s="14"/>
      <c r="I17" s="14"/>
    </row>
    <row r="18">
      <c r="B18" s="14"/>
      <c r="G18" s="14"/>
      <c r="I18" s="14"/>
    </row>
    <row r="19">
      <c r="B19" s="14"/>
      <c r="G19" s="14"/>
      <c r="I19" s="14"/>
    </row>
    <row r="20">
      <c r="B20" s="14"/>
      <c r="G20" s="14"/>
      <c r="I20" s="14"/>
    </row>
    <row r="21" ht="15.75" customHeight="1">
      <c r="B21" s="14"/>
      <c r="G21" s="14"/>
      <c r="I21" s="14"/>
    </row>
    <row r="22" ht="15.75" customHeight="1">
      <c r="B22" s="14"/>
      <c r="G22" s="14"/>
      <c r="I22" s="14"/>
    </row>
    <row r="23" ht="15.75" customHeight="1">
      <c r="B23" s="14"/>
      <c r="G23" s="14"/>
      <c r="I23" s="14"/>
    </row>
    <row r="24" ht="15.75" customHeight="1">
      <c r="B24" s="14"/>
      <c r="G24" s="14"/>
      <c r="I24" s="14"/>
    </row>
    <row r="25" ht="15.75" customHeight="1">
      <c r="B25" s="14"/>
      <c r="G25" s="14"/>
      <c r="I25" s="14"/>
    </row>
    <row r="26" ht="15.75" customHeight="1">
      <c r="B26" s="14"/>
      <c r="G26" s="14"/>
      <c r="I26" s="14"/>
    </row>
    <row r="27" ht="15.75" customHeight="1">
      <c r="B27" s="14"/>
      <c r="G27" s="14"/>
      <c r="I27" s="14"/>
    </row>
    <row r="28" ht="15.75" customHeight="1">
      <c r="B28" s="14"/>
      <c r="G28" s="14"/>
      <c r="I28" s="14"/>
    </row>
    <row r="29" ht="15.75" customHeight="1">
      <c r="B29" s="14"/>
      <c r="G29" s="14"/>
      <c r="I29" s="14"/>
    </row>
    <row r="30" ht="15.75" customHeight="1">
      <c r="B30" s="14"/>
      <c r="G30" s="14"/>
      <c r="I30" s="14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dataValidations>
    <dataValidation type="list" allowBlank="1" sqref="G5:G30">
      <formula1>Listas!$C$2:$C$5</formula1>
    </dataValidation>
    <dataValidation type="list" allowBlank="1" sqref="I5:I30">
      <formula1>Listas!$A$2:$A$6</formula1>
    </dataValidation>
    <dataValidation type="list" allowBlank="1" sqref="B5:B30">
      <formula1>Listas!$B$2:$B$4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12.0"/>
    <col customWidth="1" min="3" max="3" width="38.0"/>
    <col customWidth="1" min="4" max="4" width="34.0"/>
    <col customWidth="1" min="5" max="6" width="12.0"/>
    <col customWidth="1" min="7" max="7" width="18.0"/>
    <col customWidth="1" min="8" max="8" width="13.0"/>
    <col customWidth="1" min="9" max="9" width="16.0"/>
    <col customWidth="1" min="10" max="10" width="30.0"/>
    <col customWidth="1" min="11" max="26" width="8.63"/>
  </cols>
  <sheetData>
    <row r="1" ht="27.75" customHeight="1">
      <c r="A1" s="1" t="s">
        <v>105</v>
      </c>
    </row>
    <row r="2" ht="24.0" customHeight="1">
      <c r="A2" s="2" t="s">
        <v>106</v>
      </c>
    </row>
    <row r="3">
      <c r="A3" s="15" t="s">
        <v>8</v>
      </c>
      <c r="B3" s="15" t="s">
        <v>14</v>
      </c>
      <c r="C3" s="15"/>
      <c r="D3" s="15" t="s">
        <v>107</v>
      </c>
      <c r="E3" s="16">
        <v>46174.0</v>
      </c>
      <c r="F3" s="15"/>
      <c r="G3" s="15" t="s">
        <v>108</v>
      </c>
      <c r="H3" s="16">
        <v>46187.0</v>
      </c>
    </row>
    <row r="5">
      <c r="A5" s="11" t="s">
        <v>60</v>
      </c>
      <c r="B5" s="11" t="s">
        <v>109</v>
      </c>
      <c r="C5" s="11" t="s">
        <v>110</v>
      </c>
      <c r="D5" s="11" t="s">
        <v>111</v>
      </c>
      <c r="E5" s="11" t="s">
        <v>107</v>
      </c>
      <c r="F5" s="11" t="s">
        <v>108</v>
      </c>
      <c r="G5" s="11" t="s">
        <v>44</v>
      </c>
      <c r="H5" s="11" t="s">
        <v>45</v>
      </c>
      <c r="I5" s="11" t="s">
        <v>65</v>
      </c>
      <c r="J5" s="11" t="s">
        <v>112</v>
      </c>
    </row>
    <row r="6">
      <c r="A6" s="17" t="s">
        <v>113</v>
      </c>
      <c r="B6" s="17" t="s">
        <v>94</v>
      </c>
      <c r="C6" s="17" t="s">
        <v>114</v>
      </c>
      <c r="D6" s="17" t="s">
        <v>115</v>
      </c>
      <c r="E6" s="18">
        <v>46174.0</v>
      </c>
      <c r="F6" s="18">
        <v>46174.0</v>
      </c>
      <c r="G6" s="17" t="s">
        <v>51</v>
      </c>
      <c r="H6" s="17" t="s">
        <v>52</v>
      </c>
      <c r="I6" s="17" t="s">
        <v>71</v>
      </c>
      <c r="J6" s="17" t="s">
        <v>116</v>
      </c>
    </row>
    <row r="7">
      <c r="A7" s="17" t="s">
        <v>117</v>
      </c>
      <c r="B7" s="17" t="s">
        <v>66</v>
      </c>
      <c r="C7" s="17" t="s">
        <v>118</v>
      </c>
      <c r="D7" s="17" t="s">
        <v>119</v>
      </c>
      <c r="E7" s="18">
        <v>46174.0</v>
      </c>
      <c r="F7" s="18">
        <v>46175.0</v>
      </c>
      <c r="G7" s="17" t="s">
        <v>70</v>
      </c>
      <c r="H7" s="17" t="s">
        <v>52</v>
      </c>
      <c r="I7" s="17" t="s">
        <v>113</v>
      </c>
      <c r="J7" s="17"/>
    </row>
    <row r="8">
      <c r="A8" s="17" t="s">
        <v>120</v>
      </c>
      <c r="B8" s="17" t="s">
        <v>73</v>
      </c>
      <c r="C8" s="17" t="s">
        <v>121</v>
      </c>
      <c r="D8" s="17" t="s">
        <v>122</v>
      </c>
      <c r="E8" s="18">
        <v>46176.0</v>
      </c>
      <c r="F8" s="18">
        <v>46178.0</v>
      </c>
      <c r="G8" s="17" t="s">
        <v>70</v>
      </c>
      <c r="H8" s="17" t="s">
        <v>52</v>
      </c>
      <c r="I8" s="17" t="s">
        <v>117</v>
      </c>
      <c r="J8" s="17"/>
    </row>
    <row r="9">
      <c r="A9" s="17" t="s">
        <v>123</v>
      </c>
      <c r="B9" s="17" t="s">
        <v>73</v>
      </c>
      <c r="C9" s="17" t="s">
        <v>124</v>
      </c>
      <c r="D9" s="17" t="s">
        <v>125</v>
      </c>
      <c r="E9" s="18">
        <v>46178.0</v>
      </c>
      <c r="F9" s="18">
        <v>46179.0</v>
      </c>
      <c r="G9" s="17" t="s">
        <v>91</v>
      </c>
      <c r="H9" s="17" t="s">
        <v>52</v>
      </c>
      <c r="I9" s="17" t="s">
        <v>120</v>
      </c>
      <c r="J9" s="17"/>
    </row>
    <row r="10">
      <c r="A10" s="17" t="s">
        <v>126</v>
      </c>
      <c r="B10" s="17" t="s">
        <v>77</v>
      </c>
      <c r="C10" s="17" t="s">
        <v>127</v>
      </c>
      <c r="D10" s="17" t="s">
        <v>128</v>
      </c>
      <c r="E10" s="18">
        <v>46180.0</v>
      </c>
      <c r="F10" s="18">
        <v>46183.0</v>
      </c>
      <c r="G10" s="17" t="s">
        <v>70</v>
      </c>
      <c r="H10" s="17" t="s">
        <v>52</v>
      </c>
      <c r="I10" s="17" t="s">
        <v>123</v>
      </c>
      <c r="J10" s="17"/>
    </row>
    <row r="11">
      <c r="A11" s="17" t="s">
        <v>129</v>
      </c>
      <c r="B11" s="17" t="s">
        <v>82</v>
      </c>
      <c r="C11" s="17" t="s">
        <v>130</v>
      </c>
      <c r="D11" s="17" t="s">
        <v>131</v>
      </c>
      <c r="E11" s="18">
        <v>46180.0</v>
      </c>
      <c r="F11" s="18">
        <v>46184.0</v>
      </c>
      <c r="G11" s="17" t="s">
        <v>85</v>
      </c>
      <c r="H11" s="17" t="s">
        <v>52</v>
      </c>
      <c r="I11" s="17" t="s">
        <v>123</v>
      </c>
      <c r="J11" s="17"/>
    </row>
    <row r="12">
      <c r="A12" s="17" t="s">
        <v>132</v>
      </c>
      <c r="B12" s="17" t="s">
        <v>94</v>
      </c>
      <c r="C12" s="17" t="s">
        <v>133</v>
      </c>
      <c r="D12" s="17" t="s">
        <v>134</v>
      </c>
      <c r="E12" s="18">
        <v>46176.0</v>
      </c>
      <c r="F12" s="18">
        <v>46185.0</v>
      </c>
      <c r="G12" s="17" t="s">
        <v>51</v>
      </c>
      <c r="H12" s="17" t="s">
        <v>52</v>
      </c>
      <c r="I12" s="17" t="s">
        <v>113</v>
      </c>
      <c r="J12" s="17" t="s">
        <v>135</v>
      </c>
    </row>
    <row r="13">
      <c r="A13" s="17" t="s">
        <v>136</v>
      </c>
      <c r="B13" s="17" t="s">
        <v>94</v>
      </c>
      <c r="C13" s="17" t="s">
        <v>137</v>
      </c>
      <c r="D13" s="17" t="s">
        <v>138</v>
      </c>
      <c r="E13" s="18">
        <v>46186.0</v>
      </c>
      <c r="F13" s="18">
        <v>46186.0</v>
      </c>
      <c r="G13" s="17" t="s">
        <v>51</v>
      </c>
      <c r="H13" s="17" t="s">
        <v>52</v>
      </c>
      <c r="I13" s="17" t="s">
        <v>139</v>
      </c>
      <c r="J13" s="17" t="s">
        <v>116</v>
      </c>
    </row>
    <row r="14">
      <c r="A14" s="17" t="s">
        <v>140</v>
      </c>
      <c r="B14" s="17" t="s">
        <v>94</v>
      </c>
      <c r="C14" s="17" t="s">
        <v>141</v>
      </c>
      <c r="D14" s="17" t="s">
        <v>142</v>
      </c>
      <c r="E14" s="18">
        <v>46187.0</v>
      </c>
      <c r="F14" s="18">
        <v>46187.0</v>
      </c>
      <c r="G14" s="17" t="s">
        <v>85</v>
      </c>
      <c r="H14" s="17" t="s">
        <v>52</v>
      </c>
      <c r="I14" s="17" t="s">
        <v>136</v>
      </c>
      <c r="J14" s="17" t="s">
        <v>116</v>
      </c>
    </row>
    <row r="15">
      <c r="G15" s="14"/>
      <c r="H15" s="14"/>
    </row>
    <row r="16">
      <c r="G16" s="14"/>
      <c r="H16" s="14"/>
    </row>
    <row r="17">
      <c r="A17" s="5" t="s">
        <v>143</v>
      </c>
      <c r="B17" s="5" t="s">
        <v>144</v>
      </c>
      <c r="C17" s="5" t="s">
        <v>145</v>
      </c>
      <c r="D17" s="5" t="s">
        <v>146</v>
      </c>
      <c r="G17" s="14"/>
      <c r="H17" s="14"/>
    </row>
    <row r="18">
      <c r="A18" s="14" t="s">
        <v>14</v>
      </c>
      <c r="B18" s="14">
        <f>COUNTA(A6:A14)</f>
        <v>9</v>
      </c>
      <c r="C18" s="14">
        <f>COUNTIF(H6:H14,"Hecho")</f>
        <v>0</v>
      </c>
      <c r="D18" s="19">
        <f>IFERROR(C18/B18,0)</f>
        <v>0</v>
      </c>
      <c r="G18" s="14"/>
      <c r="H18" s="14"/>
    </row>
    <row r="19">
      <c r="G19" s="14"/>
      <c r="H19" s="14"/>
    </row>
    <row r="20">
      <c r="G20" s="14"/>
      <c r="H20" s="14"/>
    </row>
    <row r="21" ht="15.75" customHeight="1">
      <c r="G21" s="14"/>
      <c r="H21" s="14"/>
    </row>
    <row r="22" ht="15.75" customHeight="1">
      <c r="G22" s="14"/>
      <c r="H22" s="14"/>
    </row>
    <row r="23" ht="15.75" customHeight="1">
      <c r="G23" s="14"/>
      <c r="H23" s="14"/>
    </row>
    <row r="24" ht="15.75" customHeight="1">
      <c r="G24" s="14"/>
      <c r="H24" s="14"/>
    </row>
    <row r="25" ht="15.75" customHeight="1">
      <c r="G25" s="14"/>
      <c r="H25" s="14"/>
    </row>
    <row r="26" ht="15.75" customHeight="1">
      <c r="G26" s="14"/>
      <c r="H26" s="14"/>
    </row>
    <row r="27" ht="15.75" customHeight="1">
      <c r="G27" s="14"/>
      <c r="H27" s="14"/>
    </row>
    <row r="28" ht="15.75" customHeight="1">
      <c r="G28" s="14"/>
      <c r="H28" s="14"/>
    </row>
    <row r="29" ht="15.75" customHeight="1">
      <c r="G29" s="14"/>
      <c r="H29" s="14"/>
    </row>
    <row r="30" ht="15.75" customHeight="1">
      <c r="G30" s="14"/>
      <c r="H30" s="14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dataValidations>
    <dataValidation type="list" allowBlank="1" sqref="G6:G30">
      <formula1>Listas!$C$2:$C$5</formula1>
    </dataValidation>
    <dataValidation type="list" allowBlank="1" sqref="H6:H30">
      <formula1>Listas!$A$2:$A$6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12.0"/>
    <col customWidth="1" min="3" max="3" width="38.0"/>
    <col customWidth="1" min="4" max="4" width="34.0"/>
    <col customWidth="1" min="5" max="6" width="12.0"/>
    <col customWidth="1" min="7" max="7" width="18.0"/>
    <col customWidth="1" min="8" max="8" width="13.0"/>
    <col customWidth="1" min="9" max="9" width="16.0"/>
    <col customWidth="1" min="10" max="10" width="30.0"/>
    <col customWidth="1" min="11" max="26" width="8.63"/>
  </cols>
  <sheetData>
    <row r="1" ht="27.75" customHeight="1">
      <c r="A1" s="1" t="s">
        <v>147</v>
      </c>
    </row>
    <row r="2" ht="24.0" customHeight="1">
      <c r="A2" s="2" t="s">
        <v>106</v>
      </c>
    </row>
    <row r="3">
      <c r="A3" s="15" t="s">
        <v>8</v>
      </c>
      <c r="B3" s="15" t="s">
        <v>19</v>
      </c>
      <c r="C3" s="15"/>
      <c r="D3" s="15" t="s">
        <v>107</v>
      </c>
      <c r="E3" s="16">
        <v>46188.0</v>
      </c>
      <c r="F3" s="15"/>
      <c r="G3" s="15" t="s">
        <v>108</v>
      </c>
      <c r="H3" s="16">
        <v>46201.0</v>
      </c>
    </row>
    <row r="5">
      <c r="A5" s="11" t="s">
        <v>60</v>
      </c>
      <c r="B5" s="11" t="s">
        <v>109</v>
      </c>
      <c r="C5" s="11" t="s">
        <v>110</v>
      </c>
      <c r="D5" s="11" t="s">
        <v>111</v>
      </c>
      <c r="E5" s="11" t="s">
        <v>107</v>
      </c>
      <c r="F5" s="11" t="s">
        <v>108</v>
      </c>
      <c r="G5" s="11" t="s">
        <v>44</v>
      </c>
      <c r="H5" s="11" t="s">
        <v>45</v>
      </c>
      <c r="I5" s="11" t="s">
        <v>65</v>
      </c>
      <c r="J5" s="11" t="s">
        <v>112</v>
      </c>
    </row>
    <row r="6">
      <c r="A6" s="17" t="s">
        <v>148</v>
      </c>
      <c r="B6" s="17" t="s">
        <v>94</v>
      </c>
      <c r="C6" s="17" t="s">
        <v>149</v>
      </c>
      <c r="D6" s="17" t="s">
        <v>150</v>
      </c>
      <c r="E6" s="18">
        <v>46188.0</v>
      </c>
      <c r="F6" s="18">
        <v>46188.0</v>
      </c>
      <c r="G6" s="17" t="s">
        <v>51</v>
      </c>
      <c r="H6" s="17" t="s">
        <v>52</v>
      </c>
      <c r="I6" s="17" t="s">
        <v>136</v>
      </c>
      <c r="J6" s="17" t="s">
        <v>116</v>
      </c>
    </row>
    <row r="7">
      <c r="A7" s="17" t="s">
        <v>151</v>
      </c>
      <c r="B7" s="17" t="s">
        <v>77</v>
      </c>
      <c r="C7" s="17" t="s">
        <v>152</v>
      </c>
      <c r="D7" s="17" t="s">
        <v>153</v>
      </c>
      <c r="E7" s="18">
        <v>46188.0</v>
      </c>
      <c r="F7" s="18">
        <v>46191.0</v>
      </c>
      <c r="G7" s="17" t="s">
        <v>70</v>
      </c>
      <c r="H7" s="17" t="s">
        <v>52</v>
      </c>
      <c r="I7" s="17" t="s">
        <v>148</v>
      </c>
      <c r="J7" s="17"/>
    </row>
    <row r="8">
      <c r="A8" s="17" t="s">
        <v>154</v>
      </c>
      <c r="B8" s="17" t="s">
        <v>82</v>
      </c>
      <c r="C8" s="17" t="s">
        <v>155</v>
      </c>
      <c r="D8" s="17" t="s">
        <v>156</v>
      </c>
      <c r="E8" s="18">
        <v>46190.0</v>
      </c>
      <c r="F8" s="18">
        <v>46195.0</v>
      </c>
      <c r="G8" s="17" t="s">
        <v>85</v>
      </c>
      <c r="H8" s="17" t="s">
        <v>52</v>
      </c>
      <c r="I8" s="17" t="s">
        <v>151</v>
      </c>
      <c r="J8" s="17"/>
    </row>
    <row r="9">
      <c r="A9" s="17" t="s">
        <v>157</v>
      </c>
      <c r="B9" s="17" t="s">
        <v>82</v>
      </c>
      <c r="C9" s="17" t="s">
        <v>158</v>
      </c>
      <c r="D9" s="17" t="s">
        <v>159</v>
      </c>
      <c r="E9" s="18">
        <v>46193.0</v>
      </c>
      <c r="F9" s="18">
        <v>46196.0</v>
      </c>
      <c r="G9" s="17" t="s">
        <v>85</v>
      </c>
      <c r="H9" s="17" t="s">
        <v>52</v>
      </c>
      <c r="I9" s="17" t="s">
        <v>160</v>
      </c>
      <c r="J9" s="17"/>
    </row>
    <row r="10">
      <c r="A10" s="17" t="s">
        <v>161</v>
      </c>
      <c r="B10" s="17" t="s">
        <v>87</v>
      </c>
      <c r="C10" s="17" t="s">
        <v>162</v>
      </c>
      <c r="D10" s="17" t="s">
        <v>163</v>
      </c>
      <c r="E10" s="18">
        <v>46194.0</v>
      </c>
      <c r="F10" s="18">
        <v>46198.0</v>
      </c>
      <c r="G10" s="17" t="s">
        <v>91</v>
      </c>
      <c r="H10" s="17" t="s">
        <v>52</v>
      </c>
      <c r="I10" s="17" t="s">
        <v>157</v>
      </c>
      <c r="J10" s="17"/>
    </row>
    <row r="11">
      <c r="A11" s="17" t="s">
        <v>164</v>
      </c>
      <c r="B11" s="17" t="s">
        <v>99</v>
      </c>
      <c r="C11" s="17" t="s">
        <v>165</v>
      </c>
      <c r="D11" s="17" t="s">
        <v>166</v>
      </c>
      <c r="E11" s="18">
        <v>46197.0</v>
      </c>
      <c r="F11" s="18">
        <v>46199.0</v>
      </c>
      <c r="G11" s="17" t="s">
        <v>85</v>
      </c>
      <c r="H11" s="17" t="s">
        <v>52</v>
      </c>
      <c r="I11" s="17" t="s">
        <v>167</v>
      </c>
      <c r="J11" s="17"/>
    </row>
    <row r="12">
      <c r="A12" s="17" t="s">
        <v>168</v>
      </c>
      <c r="B12" s="17" t="s">
        <v>94</v>
      </c>
      <c r="C12" s="17" t="s">
        <v>169</v>
      </c>
      <c r="D12" s="17" t="s">
        <v>134</v>
      </c>
      <c r="E12" s="18">
        <v>46190.0</v>
      </c>
      <c r="F12" s="18">
        <v>46199.0</v>
      </c>
      <c r="G12" s="17" t="s">
        <v>51</v>
      </c>
      <c r="H12" s="17" t="s">
        <v>52</v>
      </c>
      <c r="I12" s="17" t="s">
        <v>148</v>
      </c>
      <c r="J12" s="17" t="s">
        <v>135</v>
      </c>
    </row>
    <row r="13">
      <c r="A13" s="17" t="s">
        <v>170</v>
      </c>
      <c r="B13" s="17" t="s">
        <v>94</v>
      </c>
      <c r="C13" s="17" t="s">
        <v>171</v>
      </c>
      <c r="D13" s="17" t="s">
        <v>172</v>
      </c>
      <c r="E13" s="18">
        <v>46200.0</v>
      </c>
      <c r="F13" s="18">
        <v>46200.0</v>
      </c>
      <c r="G13" s="17" t="s">
        <v>51</v>
      </c>
      <c r="H13" s="17" t="s">
        <v>52</v>
      </c>
      <c r="I13" s="17" t="s">
        <v>173</v>
      </c>
      <c r="J13" s="17" t="s">
        <v>116</v>
      </c>
    </row>
    <row r="14">
      <c r="A14" s="17" t="s">
        <v>174</v>
      </c>
      <c r="B14" s="17" t="s">
        <v>94</v>
      </c>
      <c r="C14" s="17" t="s">
        <v>175</v>
      </c>
      <c r="D14" s="17" t="s">
        <v>176</v>
      </c>
      <c r="E14" s="18">
        <v>46201.0</v>
      </c>
      <c r="F14" s="18">
        <v>46201.0</v>
      </c>
      <c r="G14" s="17" t="s">
        <v>85</v>
      </c>
      <c r="H14" s="17" t="s">
        <v>52</v>
      </c>
      <c r="I14" s="17" t="s">
        <v>170</v>
      </c>
      <c r="J14" s="17" t="s">
        <v>116</v>
      </c>
    </row>
    <row r="15">
      <c r="G15" s="14"/>
      <c r="H15" s="14"/>
    </row>
    <row r="16">
      <c r="G16" s="14"/>
      <c r="H16" s="14"/>
    </row>
    <row r="17">
      <c r="A17" s="5" t="s">
        <v>143</v>
      </c>
      <c r="B17" s="5" t="s">
        <v>144</v>
      </c>
      <c r="C17" s="5" t="s">
        <v>145</v>
      </c>
      <c r="D17" s="5" t="s">
        <v>146</v>
      </c>
      <c r="G17" s="14"/>
      <c r="H17" s="14"/>
    </row>
    <row r="18">
      <c r="A18" s="14" t="s">
        <v>19</v>
      </c>
      <c r="B18" s="14">
        <f>COUNTA(A6:A14)</f>
        <v>9</v>
      </c>
      <c r="C18" s="14">
        <f>COUNTIF(H6:H14,"Hecho")</f>
        <v>0</v>
      </c>
      <c r="D18" s="19">
        <f>IFERROR(C18/B18,0)</f>
        <v>0</v>
      </c>
      <c r="G18" s="14"/>
      <c r="H18" s="14"/>
    </row>
    <row r="19">
      <c r="G19" s="14"/>
      <c r="H19" s="14"/>
    </row>
    <row r="20">
      <c r="G20" s="14"/>
      <c r="H20" s="14"/>
    </row>
    <row r="21" ht="15.75" customHeight="1">
      <c r="G21" s="14"/>
      <c r="H21" s="14"/>
    </row>
    <row r="22" ht="15.75" customHeight="1">
      <c r="G22" s="14"/>
      <c r="H22" s="14"/>
    </row>
    <row r="23" ht="15.75" customHeight="1">
      <c r="G23" s="14"/>
      <c r="H23" s="14"/>
    </row>
    <row r="24" ht="15.75" customHeight="1">
      <c r="G24" s="14"/>
      <c r="H24" s="14"/>
    </row>
    <row r="25" ht="15.75" customHeight="1">
      <c r="G25" s="14"/>
      <c r="H25" s="14"/>
    </row>
    <row r="26" ht="15.75" customHeight="1">
      <c r="G26" s="14"/>
      <c r="H26" s="14"/>
    </row>
    <row r="27" ht="15.75" customHeight="1">
      <c r="G27" s="14"/>
      <c r="H27" s="14"/>
    </row>
    <row r="28" ht="15.75" customHeight="1">
      <c r="G28" s="14"/>
      <c r="H28" s="14"/>
    </row>
    <row r="29" ht="15.75" customHeight="1">
      <c r="G29" s="14"/>
      <c r="H29" s="14"/>
    </row>
    <row r="30" ht="15.75" customHeight="1">
      <c r="G30" s="14"/>
      <c r="H30" s="14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dataValidations>
    <dataValidation type="list" allowBlank="1" sqref="G6:G30">
      <formula1>Listas!$C$2:$C$5</formula1>
    </dataValidation>
    <dataValidation type="list" allowBlank="1" sqref="H6:H30">
      <formula1>Listas!$A$2:$A$6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0.0"/>
    <col customWidth="1" min="3" max="3" width="42.0"/>
    <col customWidth="1" min="4" max="4" width="16.0"/>
    <col customWidth="1" min="5" max="5" width="14.0"/>
    <col customWidth="1" min="6" max="6" width="18.0"/>
    <col customWidth="1" min="7" max="7" width="32.0"/>
    <col customWidth="1" min="8" max="8" width="30.0"/>
    <col customWidth="1" min="9" max="9" width="13.0"/>
    <col customWidth="1" min="10" max="26" width="8.63"/>
  </cols>
  <sheetData>
    <row r="1" ht="27.75" customHeight="1">
      <c r="A1" s="1" t="s">
        <v>177</v>
      </c>
    </row>
    <row r="2" ht="24.0" customHeight="1">
      <c r="A2" s="2" t="s">
        <v>178</v>
      </c>
    </row>
    <row r="4">
      <c r="A4" s="11" t="s">
        <v>8</v>
      </c>
      <c r="B4" s="11" t="s">
        <v>179</v>
      </c>
      <c r="C4" s="11" t="s">
        <v>15</v>
      </c>
      <c r="D4" s="11" t="s">
        <v>180</v>
      </c>
      <c r="E4" s="11" t="s">
        <v>181</v>
      </c>
      <c r="F4" s="11" t="s">
        <v>182</v>
      </c>
      <c r="G4" s="11" t="s">
        <v>183</v>
      </c>
      <c r="H4" s="11" t="s">
        <v>184</v>
      </c>
      <c r="I4" s="11" t="s">
        <v>45</v>
      </c>
    </row>
    <row r="5">
      <c r="A5" s="13" t="s">
        <v>14</v>
      </c>
      <c r="B5" s="13" t="s">
        <v>185</v>
      </c>
      <c r="C5" s="13" t="s">
        <v>186</v>
      </c>
      <c r="D5" s="13" t="s">
        <v>187</v>
      </c>
      <c r="E5" s="20">
        <v>46174.0</v>
      </c>
      <c r="F5" s="13" t="s">
        <v>51</v>
      </c>
      <c r="G5" s="13"/>
      <c r="H5" s="13" t="s">
        <v>188</v>
      </c>
      <c r="I5" s="13" t="s">
        <v>52</v>
      </c>
    </row>
    <row r="6">
      <c r="A6" s="13" t="s">
        <v>14</v>
      </c>
      <c r="B6" s="13" t="s">
        <v>189</v>
      </c>
      <c r="C6" s="13" t="s">
        <v>190</v>
      </c>
      <c r="D6" s="13" t="s">
        <v>191</v>
      </c>
      <c r="E6" s="20">
        <v>46176.0</v>
      </c>
      <c r="F6" s="13" t="s">
        <v>51</v>
      </c>
      <c r="G6" s="13"/>
      <c r="H6" s="13" t="s">
        <v>192</v>
      </c>
      <c r="I6" s="13" t="s">
        <v>52</v>
      </c>
    </row>
    <row r="7">
      <c r="A7" s="13" t="s">
        <v>14</v>
      </c>
      <c r="B7" s="13" t="s">
        <v>193</v>
      </c>
      <c r="C7" s="13" t="s">
        <v>194</v>
      </c>
      <c r="D7" s="13" t="s">
        <v>191</v>
      </c>
      <c r="E7" s="20">
        <v>46180.0</v>
      </c>
      <c r="F7" s="13" t="s">
        <v>51</v>
      </c>
      <c r="G7" s="13"/>
      <c r="H7" s="13" t="s">
        <v>192</v>
      </c>
      <c r="I7" s="13" t="s">
        <v>52</v>
      </c>
    </row>
    <row r="8">
      <c r="A8" s="13" t="s">
        <v>14</v>
      </c>
      <c r="B8" s="13" t="s">
        <v>195</v>
      </c>
      <c r="C8" s="13" t="s">
        <v>196</v>
      </c>
      <c r="D8" s="13" t="s">
        <v>191</v>
      </c>
      <c r="E8" s="20">
        <v>46184.0</v>
      </c>
      <c r="F8" s="13" t="s">
        <v>51</v>
      </c>
      <c r="G8" s="13"/>
      <c r="H8" s="13" t="s">
        <v>192</v>
      </c>
      <c r="I8" s="13" t="s">
        <v>52</v>
      </c>
    </row>
    <row r="9">
      <c r="A9" s="13" t="s">
        <v>14</v>
      </c>
      <c r="B9" s="13" t="s">
        <v>197</v>
      </c>
      <c r="C9" s="13" t="s">
        <v>198</v>
      </c>
      <c r="D9" s="13" t="s">
        <v>199</v>
      </c>
      <c r="E9" s="20">
        <v>46186.0</v>
      </c>
      <c r="F9" s="13" t="s">
        <v>200</v>
      </c>
      <c r="G9" s="13"/>
      <c r="H9" s="13" t="s">
        <v>201</v>
      </c>
      <c r="I9" s="13" t="s">
        <v>52</v>
      </c>
    </row>
    <row r="10">
      <c r="A10" s="13" t="s">
        <v>14</v>
      </c>
      <c r="B10" s="13" t="s">
        <v>202</v>
      </c>
      <c r="C10" s="13" t="s">
        <v>203</v>
      </c>
      <c r="D10" s="13" t="s">
        <v>204</v>
      </c>
      <c r="E10" s="20">
        <v>46187.0</v>
      </c>
      <c r="F10" s="13" t="s">
        <v>51</v>
      </c>
      <c r="G10" s="13"/>
      <c r="H10" s="13" t="s">
        <v>205</v>
      </c>
      <c r="I10" s="13" t="s">
        <v>52</v>
      </c>
    </row>
    <row r="11">
      <c r="A11" s="13" t="s">
        <v>19</v>
      </c>
      <c r="B11" s="13" t="s">
        <v>185</v>
      </c>
      <c r="C11" s="13" t="s">
        <v>206</v>
      </c>
      <c r="D11" s="13" t="s">
        <v>187</v>
      </c>
      <c r="E11" s="20">
        <v>46188.0</v>
      </c>
      <c r="F11" s="13" t="s">
        <v>51</v>
      </c>
      <c r="G11" s="13"/>
      <c r="H11" s="13" t="s">
        <v>207</v>
      </c>
      <c r="I11" s="13" t="s">
        <v>52</v>
      </c>
    </row>
    <row r="12">
      <c r="A12" s="13" t="s">
        <v>19</v>
      </c>
      <c r="B12" s="13" t="s">
        <v>189</v>
      </c>
      <c r="C12" s="13" t="s">
        <v>208</v>
      </c>
      <c r="D12" s="13" t="s">
        <v>191</v>
      </c>
      <c r="E12" s="20">
        <v>46190.0</v>
      </c>
      <c r="F12" s="13" t="s">
        <v>51</v>
      </c>
      <c r="G12" s="13"/>
      <c r="H12" s="13" t="s">
        <v>192</v>
      </c>
      <c r="I12" s="13" t="s">
        <v>52</v>
      </c>
    </row>
    <row r="13">
      <c r="A13" s="13" t="s">
        <v>19</v>
      </c>
      <c r="B13" s="13" t="s">
        <v>193</v>
      </c>
      <c r="C13" s="13" t="s">
        <v>209</v>
      </c>
      <c r="D13" s="13" t="s">
        <v>191</v>
      </c>
      <c r="E13" s="20">
        <v>46195.0</v>
      </c>
      <c r="F13" s="13" t="s">
        <v>51</v>
      </c>
      <c r="G13" s="13"/>
      <c r="H13" s="13" t="s">
        <v>192</v>
      </c>
      <c r="I13" s="13" t="s">
        <v>52</v>
      </c>
    </row>
    <row r="14">
      <c r="A14" s="13" t="s">
        <v>19</v>
      </c>
      <c r="B14" s="13" t="s">
        <v>195</v>
      </c>
      <c r="C14" s="13" t="s">
        <v>210</v>
      </c>
      <c r="D14" s="13" t="s">
        <v>191</v>
      </c>
      <c r="E14" s="20">
        <v>46198.0</v>
      </c>
      <c r="F14" s="13" t="s">
        <v>51</v>
      </c>
      <c r="G14" s="13"/>
      <c r="H14" s="13" t="s">
        <v>192</v>
      </c>
      <c r="I14" s="13" t="s">
        <v>52</v>
      </c>
    </row>
    <row r="15">
      <c r="A15" s="13" t="s">
        <v>19</v>
      </c>
      <c r="B15" s="13" t="s">
        <v>197</v>
      </c>
      <c r="C15" s="13" t="s">
        <v>211</v>
      </c>
      <c r="D15" s="13" t="s">
        <v>199</v>
      </c>
      <c r="E15" s="20">
        <v>46200.0</v>
      </c>
      <c r="F15" s="13" t="s">
        <v>200</v>
      </c>
      <c r="G15" s="13"/>
      <c r="H15" s="13" t="s">
        <v>212</v>
      </c>
      <c r="I15" s="13" t="s">
        <v>52</v>
      </c>
    </row>
    <row r="16">
      <c r="A16" s="13" t="s">
        <v>19</v>
      </c>
      <c r="B16" s="13" t="s">
        <v>202</v>
      </c>
      <c r="C16" s="13" t="s">
        <v>213</v>
      </c>
      <c r="D16" s="13" t="s">
        <v>204</v>
      </c>
      <c r="E16" s="20">
        <v>46201.0</v>
      </c>
      <c r="F16" s="13" t="s">
        <v>51</v>
      </c>
      <c r="G16" s="13"/>
      <c r="H16" s="13" t="s">
        <v>214</v>
      </c>
      <c r="I16" s="13" t="s">
        <v>52</v>
      </c>
    </row>
    <row r="17">
      <c r="B17" s="14"/>
      <c r="I17" s="14"/>
    </row>
    <row r="18">
      <c r="B18" s="14"/>
      <c r="I18" s="14"/>
    </row>
    <row r="19">
      <c r="B19" s="14"/>
      <c r="I19" s="14"/>
    </row>
    <row r="20">
      <c r="B20" s="14"/>
      <c r="I20" s="14"/>
    </row>
    <row r="21" ht="15.75" customHeight="1">
      <c r="B21" s="14"/>
      <c r="I21" s="14"/>
    </row>
    <row r="22" ht="15.75" customHeight="1">
      <c r="B22" s="14"/>
      <c r="I22" s="14"/>
    </row>
    <row r="23" ht="15.75" customHeight="1">
      <c r="B23" s="14"/>
      <c r="I23" s="14"/>
    </row>
    <row r="24" ht="15.75" customHeight="1">
      <c r="B24" s="14"/>
      <c r="I24" s="14"/>
    </row>
    <row r="25" ht="15.75" customHeight="1">
      <c r="B25" s="14"/>
      <c r="I25" s="14"/>
    </row>
    <row r="26" ht="15.75" customHeight="1">
      <c r="B26" s="14"/>
      <c r="I26" s="14"/>
    </row>
    <row r="27" ht="15.75" customHeight="1">
      <c r="B27" s="14"/>
      <c r="I27" s="14"/>
    </row>
    <row r="28" ht="15.75" customHeight="1">
      <c r="B28" s="14"/>
      <c r="I28" s="14"/>
    </row>
    <row r="29" ht="15.75" customHeight="1">
      <c r="B29" s="14"/>
      <c r="I29" s="14"/>
    </row>
    <row r="30" ht="15.75" customHeight="1">
      <c r="B30" s="14"/>
      <c r="I30" s="14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:I2"/>
  </mergeCells>
  <dataValidations>
    <dataValidation type="list" allowBlank="1" sqref="I5:I30">
      <formula1>Listas!$A$2:$A$6</formula1>
    </dataValidation>
    <dataValidation type="list" allowBlank="1" sqref="B5:B30">
      <formula1>Listas!$D$2:$D$7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48.0"/>
    <col customWidth="1" min="3" max="3" width="18.0"/>
    <col customWidth="1" min="4" max="4" width="30.0"/>
    <col customWidth="1" min="5" max="5" width="13.0"/>
    <col customWidth="1" min="6" max="6" width="30.0"/>
    <col customWidth="1" min="7" max="26" width="8.63"/>
  </cols>
  <sheetData>
    <row r="1" ht="27.75" customHeight="1">
      <c r="A1" s="1" t="s">
        <v>215</v>
      </c>
    </row>
    <row r="2" ht="24.0" customHeight="1">
      <c r="A2" s="2" t="s">
        <v>216</v>
      </c>
    </row>
    <row r="4">
      <c r="A4" s="11" t="s">
        <v>217</v>
      </c>
      <c r="B4" s="11" t="s">
        <v>218</v>
      </c>
      <c r="C4" s="11" t="s">
        <v>44</v>
      </c>
      <c r="D4" s="11" t="s">
        <v>219</v>
      </c>
      <c r="E4" s="11" t="s">
        <v>45</v>
      </c>
      <c r="F4" s="11" t="s">
        <v>220</v>
      </c>
    </row>
    <row r="5">
      <c r="A5" s="13" t="s">
        <v>221</v>
      </c>
      <c r="B5" s="13" t="s">
        <v>222</v>
      </c>
      <c r="C5" s="13" t="s">
        <v>70</v>
      </c>
      <c r="D5" s="13" t="s">
        <v>223</v>
      </c>
      <c r="E5" s="13" t="s">
        <v>52</v>
      </c>
      <c r="F5" s="13"/>
    </row>
    <row r="6">
      <c r="A6" s="13" t="s">
        <v>224</v>
      </c>
      <c r="B6" s="13" t="s">
        <v>225</v>
      </c>
      <c r="C6" s="13" t="s">
        <v>70</v>
      </c>
      <c r="D6" s="13" t="s">
        <v>226</v>
      </c>
      <c r="E6" s="13" t="s">
        <v>52</v>
      </c>
      <c r="F6" s="13"/>
    </row>
    <row r="7">
      <c r="A7" s="13" t="s">
        <v>227</v>
      </c>
      <c r="B7" s="13" t="s">
        <v>228</v>
      </c>
      <c r="C7" s="13" t="s">
        <v>70</v>
      </c>
      <c r="D7" s="13" t="s">
        <v>229</v>
      </c>
      <c r="E7" s="13" t="s">
        <v>52</v>
      </c>
      <c r="F7" s="13"/>
    </row>
    <row r="8">
      <c r="A8" s="13" t="s">
        <v>230</v>
      </c>
      <c r="B8" s="13" t="s">
        <v>231</v>
      </c>
      <c r="C8" s="13" t="s">
        <v>85</v>
      </c>
      <c r="D8" s="13" t="s">
        <v>232</v>
      </c>
      <c r="E8" s="13" t="s">
        <v>52</v>
      </c>
      <c r="F8" s="13"/>
    </row>
    <row r="9">
      <c r="A9" s="13" t="s">
        <v>233</v>
      </c>
      <c r="B9" s="13" t="s">
        <v>234</v>
      </c>
      <c r="C9" s="13" t="s">
        <v>91</v>
      </c>
      <c r="D9" s="13" t="s">
        <v>235</v>
      </c>
      <c r="E9" s="13" t="s">
        <v>52</v>
      </c>
      <c r="F9" s="13"/>
    </row>
    <row r="10">
      <c r="A10" s="13" t="s">
        <v>236</v>
      </c>
      <c r="B10" s="13" t="s">
        <v>237</v>
      </c>
      <c r="C10" s="13" t="s">
        <v>51</v>
      </c>
      <c r="D10" s="13" t="s">
        <v>238</v>
      </c>
      <c r="E10" s="13" t="s">
        <v>52</v>
      </c>
      <c r="F10" s="13"/>
    </row>
    <row r="11">
      <c r="A11" s="13" t="s">
        <v>239</v>
      </c>
      <c r="B11" s="13" t="s">
        <v>240</v>
      </c>
      <c r="C11" s="13" t="s">
        <v>91</v>
      </c>
      <c r="D11" s="13" t="s">
        <v>241</v>
      </c>
      <c r="E11" s="13" t="s">
        <v>52</v>
      </c>
      <c r="F11" s="13"/>
    </row>
    <row r="12">
      <c r="C12" s="14"/>
      <c r="E12" s="14"/>
    </row>
    <row r="13">
      <c r="C13" s="14"/>
      <c r="E13" s="14"/>
    </row>
    <row r="14">
      <c r="C14" s="14"/>
      <c r="E14" s="14"/>
    </row>
    <row r="15">
      <c r="C15" s="14"/>
      <c r="E15" s="14"/>
    </row>
    <row r="16">
      <c r="A16" s="11" t="s">
        <v>242</v>
      </c>
      <c r="B16" s="11" t="s">
        <v>243</v>
      </c>
      <c r="C16" s="11" t="s">
        <v>244</v>
      </c>
      <c r="D16" s="11" t="s">
        <v>245</v>
      </c>
      <c r="E16" s="11" t="s">
        <v>45</v>
      </c>
      <c r="F16" s="11" t="s">
        <v>44</v>
      </c>
    </row>
    <row r="17">
      <c r="A17" s="13" t="s">
        <v>246</v>
      </c>
      <c r="B17" s="13" t="s">
        <v>247</v>
      </c>
      <c r="C17" s="13" t="s">
        <v>248</v>
      </c>
      <c r="D17" s="13" t="s">
        <v>249</v>
      </c>
      <c r="E17" s="13" t="s">
        <v>52</v>
      </c>
      <c r="F17" s="13" t="s">
        <v>91</v>
      </c>
    </row>
    <row r="18">
      <c r="A18" s="13" t="s">
        <v>250</v>
      </c>
      <c r="B18" s="13" t="s">
        <v>251</v>
      </c>
      <c r="C18" s="13" t="s">
        <v>248</v>
      </c>
      <c r="D18" s="13" t="s">
        <v>252</v>
      </c>
      <c r="E18" s="13" t="s">
        <v>52</v>
      </c>
      <c r="F18" s="13" t="s">
        <v>70</v>
      </c>
    </row>
    <row r="19">
      <c r="A19" s="13" t="s">
        <v>253</v>
      </c>
      <c r="B19" s="13" t="s">
        <v>247</v>
      </c>
      <c r="C19" s="13" t="s">
        <v>248</v>
      </c>
      <c r="D19" s="13" t="s">
        <v>254</v>
      </c>
      <c r="E19" s="13" t="s">
        <v>52</v>
      </c>
      <c r="F19" s="13" t="s">
        <v>85</v>
      </c>
    </row>
    <row r="20">
      <c r="A20" s="13" t="s">
        <v>255</v>
      </c>
      <c r="B20" s="13" t="s">
        <v>251</v>
      </c>
      <c r="C20" s="13" t="s">
        <v>248</v>
      </c>
      <c r="D20" s="13" t="s">
        <v>256</v>
      </c>
      <c r="E20" s="13" t="s">
        <v>52</v>
      </c>
      <c r="F20" s="13" t="s">
        <v>51</v>
      </c>
    </row>
    <row r="21" ht="15.75" customHeight="1">
      <c r="A21" s="13" t="s">
        <v>257</v>
      </c>
      <c r="B21" s="13" t="s">
        <v>247</v>
      </c>
      <c r="C21" s="13" t="s">
        <v>258</v>
      </c>
      <c r="D21" s="13" t="s">
        <v>259</v>
      </c>
      <c r="E21" s="13" t="s">
        <v>52</v>
      </c>
      <c r="F21" s="13" t="s">
        <v>91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dataValidations>
    <dataValidation type="list" allowBlank="1" sqref="C5:C20 F17:F21">
      <formula1>Listas!$C$2:$C$5</formula1>
    </dataValidation>
    <dataValidation type="list" allowBlank="1" sqref="E5:E21">
      <formula1>Listas!$A$2:$A$6</formula1>
    </dataValidation>
  </dataValidations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6.0"/>
    <col customWidth="1" min="3" max="3" width="20.0"/>
    <col customWidth="1" min="4" max="4" width="22.0"/>
    <col customWidth="1" min="5" max="26" width="8.63"/>
  </cols>
  <sheetData>
    <row r="1">
      <c r="A1" s="5" t="s">
        <v>45</v>
      </c>
      <c r="B1" s="5" t="s">
        <v>61</v>
      </c>
      <c r="C1" s="5" t="s">
        <v>44</v>
      </c>
      <c r="D1" s="5" t="s">
        <v>179</v>
      </c>
    </row>
    <row r="2">
      <c r="A2" s="21" t="s">
        <v>52</v>
      </c>
      <c r="B2" s="21" t="s">
        <v>67</v>
      </c>
      <c r="C2" s="21" t="s">
        <v>91</v>
      </c>
      <c r="D2" s="21" t="s">
        <v>185</v>
      </c>
    </row>
    <row r="3">
      <c r="A3" s="21" t="s">
        <v>260</v>
      </c>
      <c r="B3" s="21" t="s">
        <v>88</v>
      </c>
      <c r="C3" s="21" t="s">
        <v>70</v>
      </c>
      <c r="D3" s="21" t="s">
        <v>189</v>
      </c>
    </row>
    <row r="4">
      <c r="A4" s="21" t="s">
        <v>261</v>
      </c>
      <c r="B4" s="21" t="s">
        <v>100</v>
      </c>
      <c r="C4" s="21" t="s">
        <v>85</v>
      </c>
      <c r="D4" s="21" t="s">
        <v>193</v>
      </c>
    </row>
    <row r="5">
      <c r="A5" s="21" t="s">
        <v>262</v>
      </c>
      <c r="B5" s="21"/>
      <c r="C5" s="21" t="s">
        <v>51</v>
      </c>
      <c r="D5" s="21" t="s">
        <v>195</v>
      </c>
    </row>
    <row r="6">
      <c r="A6" s="21" t="s">
        <v>263</v>
      </c>
      <c r="B6" s="21"/>
      <c r="C6" s="21"/>
      <c r="D6" s="21" t="s">
        <v>197</v>
      </c>
    </row>
    <row r="7">
      <c r="A7" s="21"/>
      <c r="B7" s="21"/>
      <c r="C7" s="21"/>
      <c r="D7" s="21" t="s">
        <v>202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